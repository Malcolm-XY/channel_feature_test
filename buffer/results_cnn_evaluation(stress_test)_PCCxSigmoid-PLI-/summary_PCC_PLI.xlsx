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evaluation(stress_test)_PCCxSigmoid-PLI-\"/>
    </mc:Choice>
  </mc:AlternateContent>
  <xr:revisionPtr revIDLastSave="0" documentId="13_ncr:1_{79800116-0564-4571-B84B-56B3E5817692}" xr6:coauthVersionLast="47" xr6:coauthVersionMax="47" xr10:uidLastSave="{00000000-0000-0000-0000-000000000000}"/>
  <bookViews>
    <workbookView xWindow="-28920" yWindow="-15" windowWidth="29040" windowHeight="16440" tabRatio="660" xr2:uid="{00000000-000D-0000-FFFF-FFFF00000000}"/>
  </bookViews>
  <sheets>
    <sheet name="fullldata_20260317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5" l="1" a="1"/>
  <c r="K4" i="5" s="1"/>
  <c r="J4" i="5" a="1"/>
  <c r="J4" i="5" s="1"/>
  <c r="K10" i="5" a="1"/>
  <c r="K10" i="5" s="1"/>
  <c r="K9" i="5" a="1"/>
  <c r="K9" i="5" s="1"/>
  <c r="K8" i="5" a="1"/>
  <c r="K8" i="5" s="1"/>
  <c r="K7" i="5" a="1"/>
  <c r="K7" i="5" s="1"/>
  <c r="K6" i="5" a="1"/>
  <c r="K6" i="5" s="1"/>
  <c r="K11" i="5" a="1"/>
  <c r="K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J11" i="5" a="1"/>
  <c r="J11" i="5" s="1"/>
  <c r="K12" i="5" a="1"/>
  <c r="K12" i="5" s="1"/>
  <c r="J12" i="5" a="1"/>
  <c r="J12" i="5" s="1"/>
  <c r="V35" i="5"/>
  <c r="V34" i="5"/>
  <c r="V33" i="5"/>
  <c r="V32" i="5"/>
  <c r="V21" i="5"/>
  <c r="V20" i="5"/>
  <c r="V17" i="5"/>
  <c r="V16" i="5"/>
  <c r="V15" i="5"/>
  <c r="V14" i="5"/>
  <c r="V3" i="5"/>
  <c r="V2" i="5"/>
  <c r="L3" i="5"/>
  <c r="L14" i="5"/>
  <c r="L15" i="5"/>
  <c r="L16" i="5"/>
  <c r="L17" i="5"/>
  <c r="K15" i="5" a="1"/>
  <c r="K15" i="5" s="1"/>
  <c r="J15" i="5" a="1"/>
  <c r="J15" i="5" s="1"/>
  <c r="L35" i="5"/>
  <c r="L21" i="5"/>
  <c r="J17" i="5" a="1"/>
  <c r="J17" i="5" s="1"/>
  <c r="J16" i="5" a="1"/>
  <c r="J16" i="5" s="1"/>
  <c r="J14" i="5" a="1"/>
  <c r="J14" i="5" s="1"/>
  <c r="J3" i="5" a="1"/>
  <c r="J3" i="5" s="1"/>
  <c r="J2" i="5" a="1"/>
  <c r="J2" i="5" s="1"/>
  <c r="K17" i="5" a="1"/>
  <c r="K17" i="5" s="1"/>
  <c r="K16" i="5" a="1"/>
  <c r="K16" i="5" s="1"/>
  <c r="K14" i="5" a="1"/>
  <c r="K14" i="5" s="1"/>
  <c r="K3" i="5" a="1"/>
  <c r="K3" i="5" s="1"/>
  <c r="K2" i="5" a="1"/>
  <c r="K2" i="5" s="1"/>
  <c r="L34" i="5"/>
  <c r="L33" i="5"/>
  <c r="L32" i="5"/>
  <c r="L20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<sst xmlns="http://schemas.openxmlformats.org/spreadsheetml/2006/main" count="98" uniqueCount="24">
  <si>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</si>
  <si>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</si>
  <si>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</si>
  <si>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</si>
  <si>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</si>
  <si>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</si>
  <si>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</si>
  <si>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</si>
  <si>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</si>
  <si>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</si>
  <si>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</si>
  <si>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</si>
  <si>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</si>
  <si>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</si>
  <si>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</si>
  <si>
    <t>k=10, t=43.93..</t>
    <phoneticPr fontId="1" type="noConversion"/>
  </si>
  <si>
    <t>k=20, t=43.93..</t>
    <phoneticPr fontId="1" type="noConversion"/>
  </si>
  <si>
    <t>k=50, t=43.93..</t>
    <phoneticPr fontId="1" type="noConversion"/>
  </si>
  <si>
    <t>k=100, t=43.93..</t>
    <phoneticPr fontId="1" type="noConversion"/>
  </si>
  <si>
    <t>k=200, t=43.93..</t>
    <phoneticPr fontId="1" type="noConversion"/>
  </si>
  <si>
    <t>k=500, t=43.93..</t>
    <phoneticPr fontId="1" type="noConversion"/>
  </si>
  <si>
    <t>Heaviside, t=43.93</t>
    <phoneticPr fontId="1" type="noConversion"/>
  </si>
  <si>
    <t>Original FN, PLI</t>
    <phoneticPr fontId="1" type="noConversion"/>
  </si>
  <si>
    <t>PC-AEC (PLI)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</si>
</sst>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6"/>
  <sheetViews>
    <sheetView tabSelected="1" zoomScaleNormal="100" workbookViewId="0"/>
  </sheetViews>
  <sheetFormatPr defaultRowHeight="14.25" x14ac:dyDescent="0.2"/>
  <cols>
    <col min="1" max="2" width="15" style="55" customWidth="1"/>
    <col min="3" max="12" width="9" style="55"/>
    <col min="13" max="14" width="15" style="55" customWidth="1"/>
    <col min="15" max="16384" width="9" style="55"/>
  </cols>
  <sheetData>
    <row r="1" spans="1:22" ht="15.75" thickBot="1" x14ac:dyDescent="0.25">
      <c r="A1" s="1" t="s">
        <v>0</v>
      </c>
      <c r="B1" s="2" t="s">
        <v>1</v>
      </c>
      <c r="C1" s="10">
        <v>1</v>
      </c>
      <c r="D1" s="10">
        <v>0.75</v>
      </c>
      <c r="E1" s="10">
        <v>0.5</v>
      </c>
      <c r="F1" s="10">
        <v>0.3</v>
      </c>
      <c r="G1" s="10">
        <v>0.2</v>
      </c>
      <c r="H1" s="10">
        <v>0.1</v>
      </c>
      <c r="I1" s="11">
        <v>0.05</v>
      </c>
      <c r="J1" s="12" t="s">
        <v>14</v>
      </c>
      <c r="K1" s="12" t="s">
        <v>14</v>
      </c>
      <c r="L1" s="17"/>
      <c r="M1" s="1" t="s">
        <v>3</v>
      </c>
      <c r="N1" s="2" t="s">
        <v>1</v>
      </c>
      <c r="O1" s="3">
        <v>1</v>
      </c>
      <c r="P1" s="10">
        <v>0.75</v>
      </c>
      <c r="Q1" s="10">
        <v>0.5</v>
      </c>
      <c r="R1" s="10">
        <v>0.3</v>
      </c>
      <c r="S1" s="10">
        <v>0.2</v>
      </c>
      <c r="T1" s="10">
        <v>0.1</v>
      </c>
      <c r="U1" s="11">
        <v>0.05</v>
      </c>
      <c r="V1" s="17"/>
    </row>
    <row r="2" spans="1:22" ht="15.75" thickBot="1" x14ac:dyDescent="0.25">
      <c r="A2" s="48" t="s">
        <v>6</v>
      </c>
      <c r="B2" s="49"/>
      <c r="C2" s="14">
        <v>93.101364775358491</v>
      </c>
      <c r="D2" s="15">
        <v>91.326663725464783</v>
      </c>
      <c r="E2" s="15">
        <v>89.722561037148537</v>
      </c>
      <c r="F2" s="15">
        <v>83.857204647099024</v>
      </c>
      <c r="G2" s="15">
        <v>76.242949045118635</v>
      </c>
      <c r="H2" s="15">
        <v>60.40277741733636</v>
      </c>
      <c r="I2" s="16">
        <v>47.740900296138662</v>
      </c>
      <c r="J2" s="17" cm="1">
        <f t="array" ref="J2">-SUMPRODUCT((D1:H1-C1:G1)*(C2:G2+D2:H2)/2)</f>
        <v>77.879927234087958</v>
      </c>
      <c r="K2" s="17" cm="1">
        <f t="array" ref="K2">-SUMPRODUCT((D1:I1-C1:H1)*(C2:H2+D2:I2)/2)</f>
        <v>80.583519176924838</v>
      </c>
      <c r="L2" s="17" t="str">
        <f>"    "&amp;_xlfn.TEXTJOIN(", ",TRUE,C2:I2)&amp;","</f>
        <v xml:space="preserve">    93.1013647753585, 91.3266637254648, 89.7225610371485, 83.857204647099, 76.2429490451186, 60.4027774173364, 47.7409002961387,</v>
      </c>
      <c r="M2" s="48" t="s">
        <v>6</v>
      </c>
      <c r="N2" s="49"/>
      <c r="O2" s="14">
        <v>3.4649270444699574</v>
      </c>
      <c r="P2" s="15">
        <v>4.4611797621615326</v>
      </c>
      <c r="Q2" s="15">
        <v>4.7712065248821434</v>
      </c>
      <c r="R2" s="15">
        <v>5.3965689103010375</v>
      </c>
      <c r="S2" s="15">
        <v>7.9323757260741923</v>
      </c>
      <c r="T2" s="15">
        <v>9.9900413492801565</v>
      </c>
      <c r="U2" s="16">
        <v>9.7565309936118432</v>
      </c>
      <c r="V2" s="17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48" t="s">
        <v>7</v>
      </c>
      <c r="B3" s="49"/>
      <c r="C3" s="14">
        <v>93.273358766079312</v>
      </c>
      <c r="D3" s="15">
        <v>91.615587793435367</v>
      </c>
      <c r="E3" s="15">
        <v>90.62053304959386</v>
      </c>
      <c r="F3" s="15">
        <v>86.59751381932368</v>
      </c>
      <c r="G3" s="15">
        <v>78.22435026831262</v>
      </c>
      <c r="H3" s="15">
        <v>60.854992978601317</v>
      </c>
      <c r="I3" s="16">
        <v>48.743933771053378</v>
      </c>
      <c r="J3" s="17" cm="1">
        <f t="array" ref="J3">-SUMPRODUCT((D1:H1-C1:G1)*(C3:G3+D3:H3)/2)</f>
        <v>78.807498478937248</v>
      </c>
      <c r="K3" s="17" cm="1">
        <f t="array" ref="K3">-SUMPRODUCT((D1:I1-C1:H1)*(C3:H3+D3:I3)/2)</f>
        <v>81.54747164767862</v>
      </c>
      <c r="L3" s="17" t="str">
        <f t="shared" ref="L3:L17" si="0">"    "&amp;_xlfn.TEXTJOIN(", ",TRUE,C3:I3)&amp;","</f>
        <v xml:space="preserve">    93.2733587660793, 91.6155877934354, 90.6205330495939, 86.5975138193237, 78.2243502683126, 60.8549929786013, 48.7439337710534,</v>
      </c>
      <c r="M3" s="48" t="s">
        <v>7</v>
      </c>
      <c r="N3" s="49"/>
      <c r="O3" s="23">
        <v>3.4672469457762647</v>
      </c>
      <c r="P3" s="24">
        <v>4.1066373858138912</v>
      </c>
      <c r="Q3" s="24">
        <v>4.4433442831389707</v>
      </c>
      <c r="R3" s="24">
        <v>4.8572661690244194</v>
      </c>
      <c r="S3" s="24">
        <v>6.7334065011993722</v>
      </c>
      <c r="T3" s="24">
        <v>9.3055912140758643</v>
      </c>
      <c r="U3" s="25">
        <v>9.1853207799272329</v>
      </c>
      <c r="V3" s="17" t="str">
        <f t="shared" ref="V3:V17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48" t="s">
        <v>22</v>
      </c>
      <c r="B4" s="49"/>
      <c r="C4" s="23">
        <v>87.593900000000005</v>
      </c>
      <c r="D4" s="56">
        <v>87.663716814159287</v>
      </c>
      <c r="E4" s="56">
        <v>88.112094395280209</v>
      </c>
      <c r="F4" s="56">
        <v>87.970025692263789</v>
      </c>
      <c r="G4" s="56">
        <v>87.461708146264243</v>
      </c>
      <c r="H4" s="56">
        <v>75.251363189416281</v>
      </c>
      <c r="I4" s="57">
        <v>47.720683858280204</v>
      </c>
      <c r="J4" s="17" cm="1">
        <f t="array" ref="J4">-SUMPRODUCT((D1:H1-C1:G1)*(C4:G4+D4:H4)/2)</f>
        <v>78.394630770414679</v>
      </c>
      <c r="K4" s="17" cm="1">
        <f t="array" ref="K4">-SUMPRODUCT((D1:I1-C1:H1)*(C4:H4+D4:I4)/2)</f>
        <v>81.468931946607086</v>
      </c>
      <c r="L4" s="17"/>
      <c r="M4" s="48" t="s">
        <v>22</v>
      </c>
      <c r="N4" s="49"/>
      <c r="O4" s="81">
        <v>2.4529187882918819</v>
      </c>
      <c r="P4" s="56">
        <v>2.16276566139488</v>
      </c>
      <c r="Q4" s="56">
        <v>2.2973398804747198</v>
      </c>
      <c r="R4" s="56">
        <v>2.134165319654592</v>
      </c>
      <c r="S4" s="56">
        <v>2.3834878752826651</v>
      </c>
      <c r="T4" s="56">
        <v>3.787986046410059</v>
      </c>
      <c r="U4" s="57">
        <v>3.7419646549723868</v>
      </c>
      <c r="V4" s="17"/>
    </row>
    <row r="5" spans="1:22" ht="15.75" thickBot="1" x14ac:dyDescent="0.25">
      <c r="A5" s="3"/>
      <c r="B5" s="11"/>
      <c r="C5" s="14"/>
      <c r="D5" s="15"/>
      <c r="E5" s="15"/>
      <c r="F5" s="15"/>
      <c r="G5" s="15"/>
      <c r="H5" s="15"/>
      <c r="I5" s="16"/>
      <c r="J5" s="17"/>
      <c r="K5" s="17"/>
      <c r="L5" s="17"/>
      <c r="M5" s="3"/>
      <c r="N5" s="11"/>
      <c r="O5" s="26"/>
      <c r="P5" s="80"/>
      <c r="Q5" s="80"/>
      <c r="R5" s="80"/>
      <c r="S5" s="80"/>
      <c r="T5" s="80"/>
      <c r="U5" s="27"/>
      <c r="V5" s="17"/>
    </row>
    <row r="6" spans="1:22" ht="15.75" customHeight="1" thickBot="1" x14ac:dyDescent="0.25">
      <c r="A6" s="20" t="s">
        <v>15</v>
      </c>
      <c r="B6" s="18" t="s">
        <v>23</v>
      </c>
      <c r="C6" s="62">
        <v>92.546705998033403</v>
      </c>
      <c r="D6" s="63">
        <v>92.649950835791529</v>
      </c>
      <c r="E6" s="63">
        <v>91.935109011900337</v>
      </c>
      <c r="F6" s="63">
        <v>89.322874765352637</v>
      </c>
      <c r="G6" s="63">
        <v>86.154372731021326</v>
      </c>
      <c r="H6" s="63">
        <v>67.226804153438465</v>
      </c>
      <c r="I6" s="64">
        <v>47.388890330654533</v>
      </c>
      <c r="J6" s="17" cm="1">
        <f t="array" ref="J6">-SUMPRODUCT((D1:H1-C1:G1)*(C6:G6+D6:H6)/2)</f>
        <v>80.791434181956575</v>
      </c>
      <c r="K6" s="17" cm="1">
        <f t="array" ref="K6">-SUMPRODUCT((D1:I1-C1:H1)*(C16:H16+D16:I16)/2)</f>
        <v>79.777238989956672</v>
      </c>
      <c r="L6" s="17"/>
      <c r="M6" s="20" t="s">
        <v>15</v>
      </c>
      <c r="N6" s="18" t="s">
        <v>8</v>
      </c>
      <c r="O6" s="62">
        <v>3.2172270655560999</v>
      </c>
      <c r="P6" s="63">
        <v>3.2337262448611428</v>
      </c>
      <c r="Q6" s="63">
        <v>3.1952387564639881</v>
      </c>
      <c r="R6" s="63">
        <v>3.508039873109297</v>
      </c>
      <c r="S6" s="63">
        <v>4.0678120858199671</v>
      </c>
      <c r="T6" s="63">
        <v>6.2629566352562964</v>
      </c>
      <c r="U6" s="64">
        <v>4.1260307368245339</v>
      </c>
      <c r="V6" s="17"/>
    </row>
    <row r="7" spans="1:22" ht="15.75" customHeight="1" thickBot="1" x14ac:dyDescent="0.25">
      <c r="A7" s="20" t="s">
        <v>16</v>
      </c>
      <c r="B7" s="18" t="s">
        <v>23</v>
      </c>
      <c r="C7" s="65">
        <v>92.725669483876743</v>
      </c>
      <c r="D7" s="66">
        <v>92.792527040314638</v>
      </c>
      <c r="E7" s="66">
        <v>92.302868825278182</v>
      </c>
      <c r="F7" s="66">
        <v>90.83042240849835</v>
      </c>
      <c r="G7" s="66">
        <v>88.82587507965755</v>
      </c>
      <c r="H7" s="66">
        <v>70.687981729945761</v>
      </c>
      <c r="I7" s="67">
        <v>49.337641329077229</v>
      </c>
      <c r="J7" s="17" cm="1">
        <f t="array" ref="J7">-SUMPRODUCT((D1:H1-C1:G1)*(C7:G7+D7:H7)/2)</f>
        <v>81.598535886988643</v>
      </c>
      <c r="K7" s="17" cm="1">
        <f t="array" ref="K7">-SUMPRODUCT((D1:I1-C1:H1)*(C7:H7+D7:I7)/2)</f>
        <v>84.599176463464218</v>
      </c>
      <c r="L7" s="17"/>
      <c r="M7" s="20" t="s">
        <v>16</v>
      </c>
      <c r="N7" s="18" t="s">
        <v>8</v>
      </c>
      <c r="O7" s="65">
        <v>3.2399791663598601</v>
      </c>
      <c r="P7" s="66">
        <v>3.0937126551273839</v>
      </c>
      <c r="Q7" s="66">
        <v>3.0805710812574789</v>
      </c>
      <c r="R7" s="66">
        <v>3.152699073476942</v>
      </c>
      <c r="S7" s="66">
        <v>3.6898178206632219</v>
      </c>
      <c r="T7" s="66">
        <v>6.1347280083105051</v>
      </c>
      <c r="U7" s="67">
        <v>5.3955250114338478</v>
      </c>
      <c r="V7" s="17"/>
    </row>
    <row r="8" spans="1:22" ht="15.75" customHeight="1" thickBot="1" x14ac:dyDescent="0.25">
      <c r="A8" s="20" t="s">
        <v>17</v>
      </c>
      <c r="B8" s="18" t="s">
        <v>23</v>
      </c>
      <c r="C8" s="65">
        <v>92.538862792930757</v>
      </c>
      <c r="D8" s="66">
        <v>92.596859257721377</v>
      </c>
      <c r="E8" s="66">
        <v>92.131765845725312</v>
      </c>
      <c r="F8" s="66">
        <v>91.399484424605745</v>
      </c>
      <c r="G8" s="66">
        <v>88.38645086318509</v>
      </c>
      <c r="H8" s="66">
        <v>71.063506893081538</v>
      </c>
      <c r="I8" s="67">
        <v>52.957470797036883</v>
      </c>
      <c r="J8" s="17" cm="1">
        <f t="array" ref="J8">-SUMPRODUCT((D1:H1-C1:G1)*(C8:G8+D8:H8)/2)</f>
        <v>81.547963073498323</v>
      </c>
      <c r="K8" s="17" cm="1">
        <f t="array" ref="K8">-SUMPRODUCT((D1:I1-C1:H1)*(C8:H8+D8:I8)/2)</f>
        <v>84.648487515751285</v>
      </c>
      <c r="L8" s="17"/>
      <c r="M8" s="20" t="s">
        <v>17</v>
      </c>
      <c r="N8" s="18" t="s">
        <v>8</v>
      </c>
      <c r="O8" s="65">
        <v>3.278810540442274</v>
      </c>
      <c r="P8" s="66">
        <v>3.2750469252400021</v>
      </c>
      <c r="Q8" s="66">
        <v>3.0872319165878661</v>
      </c>
      <c r="R8" s="66">
        <v>3.116510241534836</v>
      </c>
      <c r="S8" s="66">
        <v>3.6330124165638931</v>
      </c>
      <c r="T8" s="66">
        <v>5.8392378785926198</v>
      </c>
      <c r="U8" s="67">
        <v>5.8333958789788376</v>
      </c>
      <c r="V8" s="17"/>
    </row>
    <row r="9" spans="1:22" ht="15.75" customHeight="1" thickBot="1" x14ac:dyDescent="0.25">
      <c r="A9" s="20" t="s">
        <v>18</v>
      </c>
      <c r="B9" s="18" t="s">
        <v>23</v>
      </c>
      <c r="C9" s="65">
        <v>92.555555555555571</v>
      </c>
      <c r="D9" s="66">
        <v>92.511307767944928</v>
      </c>
      <c r="E9" s="66">
        <v>92.040337719184407</v>
      </c>
      <c r="F9" s="66">
        <v>89.87189912254145</v>
      </c>
      <c r="G9" s="66">
        <v>88.144479335173017</v>
      </c>
      <c r="H9" s="66">
        <v>71.975472682866354</v>
      </c>
      <c r="I9" s="67">
        <v>50.124865555353708</v>
      </c>
      <c r="J9" s="17" cm="1">
        <f t="array" ref="J9">-SUMPRODUCT((D1:H1-C1:G1)*(C9:G9+D9:H9)/2)</f>
        <v>81.300353809289007</v>
      </c>
      <c r="K9" s="17" cm="1">
        <f t="array" ref="K9">-SUMPRODUCT((D1:I1-C1:H1)*(C9:H9+D9:I9)/2)</f>
        <v>84.352862265244511</v>
      </c>
      <c r="L9" s="17"/>
      <c r="M9" s="20" t="s">
        <v>18</v>
      </c>
      <c r="N9" s="18" t="s">
        <v>8</v>
      </c>
      <c r="O9" s="65">
        <v>3.1754307812929059</v>
      </c>
      <c r="P9" s="66">
        <v>3.010822548349728</v>
      </c>
      <c r="Q9" s="66">
        <v>3.011273720518127</v>
      </c>
      <c r="R9" s="66">
        <v>3.2050935247198531</v>
      </c>
      <c r="S9" s="66">
        <v>3.163804240431447</v>
      </c>
      <c r="T9" s="66">
        <v>5.9941651818006108</v>
      </c>
      <c r="U9" s="67">
        <v>6.2815495425929759</v>
      </c>
      <c r="V9" s="17"/>
    </row>
    <row r="10" spans="1:22" ht="15.75" customHeight="1" thickBot="1" x14ac:dyDescent="0.25">
      <c r="A10" s="20" t="s">
        <v>19</v>
      </c>
      <c r="B10" s="18" t="s">
        <v>23</v>
      </c>
      <c r="C10" s="65">
        <v>92.210422812192704</v>
      </c>
      <c r="D10" s="66">
        <v>92.437567222323139</v>
      </c>
      <c r="E10" s="66">
        <v>91.04424778761063</v>
      </c>
      <c r="F10" s="66">
        <v>89.659916319922047</v>
      </c>
      <c r="G10" s="66">
        <v>87.679936677652918</v>
      </c>
      <c r="H10" s="66">
        <v>72.356413117760525</v>
      </c>
      <c r="I10" s="67">
        <v>49.604941795920951</v>
      </c>
      <c r="J10" s="17" cm="1">
        <f t="array" ref="J10">-SUMPRODUCT((D1:H1-C1:G1)*(C10:G10+D10:H10)/2)</f>
        <v>80.955452180958872</v>
      </c>
      <c r="K10" s="17" cm="1">
        <f t="array" ref="K10">-SUMPRODUCT((D1:I1-C1:H1)*(C10:H10+D10:I10)/2)</f>
        <v>84.004486053800903</v>
      </c>
      <c r="L10" s="17"/>
      <c r="M10" s="20" t="s">
        <v>19</v>
      </c>
      <c r="N10" s="18" t="s">
        <v>8</v>
      </c>
      <c r="O10" s="65">
        <v>3.3446777773020702</v>
      </c>
      <c r="P10" s="66">
        <v>3.1119007910356942</v>
      </c>
      <c r="Q10" s="66">
        <v>3.2817388661211719</v>
      </c>
      <c r="R10" s="66">
        <v>3.2824891017651061</v>
      </c>
      <c r="S10" s="66">
        <v>3.4218286347626981</v>
      </c>
      <c r="T10" s="66">
        <v>5.8946924028724554</v>
      </c>
      <c r="U10" s="67">
        <v>8.3210562671723789</v>
      </c>
      <c r="V10" s="17"/>
    </row>
    <row r="11" spans="1:22" ht="15.75" customHeight="1" thickBot="1" x14ac:dyDescent="0.25">
      <c r="A11" s="20" t="s">
        <v>20</v>
      </c>
      <c r="B11" s="18" t="s">
        <v>23</v>
      </c>
      <c r="C11" s="65">
        <v>92.055092748783863</v>
      </c>
      <c r="D11" s="66">
        <v>92.191740412979343</v>
      </c>
      <c r="E11" s="66">
        <v>91.826976588609483</v>
      </c>
      <c r="F11" s="66">
        <v>89.923471079622928</v>
      </c>
      <c r="G11" s="66">
        <v>87.432584480257901</v>
      </c>
      <c r="H11" s="66">
        <v>71.378748951115497</v>
      </c>
      <c r="I11" s="67">
        <v>50.838199292381432</v>
      </c>
      <c r="J11" s="17" cm="1">
        <f t="array" ref="J11">-SUMPRODUCT((D1:H1-C1:G1)*(C11:G11+D11:H11)/2)</f>
        <v>81.016607986804971</v>
      </c>
      <c r="K11" s="17" cm="1">
        <f t="array" ref="K11">-SUMPRODUCT((D1:I1-C1:H1)*(C11:H11+D11:I11)/2)</f>
        <v>84.072031692892395</v>
      </c>
      <c r="L11" s="17"/>
      <c r="M11" s="20" t="s">
        <v>20</v>
      </c>
      <c r="N11" s="18" t="s">
        <v>8</v>
      </c>
      <c r="O11" s="65">
        <v>2.9435778752508699</v>
      </c>
      <c r="P11" s="66">
        <v>3.1917635864130749</v>
      </c>
      <c r="Q11" s="66">
        <v>2.9530343601597391</v>
      </c>
      <c r="R11" s="66">
        <v>3.1630559815417381</v>
      </c>
      <c r="S11" s="66">
        <v>2.8165674370773028</v>
      </c>
      <c r="T11" s="66">
        <v>6.1795028296976371</v>
      </c>
      <c r="U11" s="67">
        <v>8.8787752869964827</v>
      </c>
      <c r="V11" s="17"/>
    </row>
    <row r="12" spans="1:22" ht="15.75" customHeight="1" thickBot="1" x14ac:dyDescent="0.25">
      <c r="A12" s="2" t="s">
        <v>21</v>
      </c>
      <c r="B12" s="18" t="s">
        <v>23</v>
      </c>
      <c r="C12" s="68">
        <v>91.866273352999016</v>
      </c>
      <c r="D12" s="69">
        <v>91.430678466076699</v>
      </c>
      <c r="E12" s="69">
        <v>91.397246804326457</v>
      </c>
      <c r="F12" s="69">
        <v>89.885249872403747</v>
      </c>
      <c r="G12" s="69">
        <v>87.541887617251589</v>
      </c>
      <c r="H12" s="69">
        <v>72.694844534410606</v>
      </c>
      <c r="I12" s="70">
        <v>51.224367569500309</v>
      </c>
      <c r="J12" s="17" cm="1">
        <f t="array" ref="J12">-SUMPRODUCT((D1:H1-C1:G1)*(C12:G12+D12:H12)/2)</f>
        <v>80.777052785923743</v>
      </c>
      <c r="K12" s="17" cm="1">
        <f t="array" ref="K12">-SUMPRODUCT((D1:I1-C1:H1)*(C12:H12+D12:I12)/2)</f>
        <v>83.875033088521519</v>
      </c>
      <c r="L12" s="17"/>
      <c r="M12" s="2" t="s">
        <v>21</v>
      </c>
      <c r="N12" s="18" t="s">
        <v>8</v>
      </c>
      <c r="O12" s="68">
        <v>3.3060985127728562</v>
      </c>
      <c r="P12" s="69">
        <v>3.1605367326268641</v>
      </c>
      <c r="Q12" s="69">
        <v>2.9703758358279262</v>
      </c>
      <c r="R12" s="69">
        <v>3.0648043038639949</v>
      </c>
      <c r="S12" s="69">
        <v>2.8577495234303241</v>
      </c>
      <c r="T12" s="69">
        <v>5.8766687688436132</v>
      </c>
      <c r="U12" s="70">
        <v>9.6626893897485431</v>
      </c>
      <c r="V12" s="17"/>
    </row>
    <row r="13" spans="1:22" ht="15.75" customHeight="1" thickBot="1" x14ac:dyDescent="0.25">
      <c r="A13" s="1"/>
      <c r="B13" s="18"/>
      <c r="C13" s="26"/>
      <c r="D13" s="17"/>
      <c r="E13" s="17"/>
      <c r="F13" s="17"/>
      <c r="G13" s="17"/>
      <c r="H13" s="17"/>
      <c r="I13" s="27"/>
      <c r="J13" s="17"/>
      <c r="K13" s="17"/>
      <c r="L13" s="17"/>
      <c r="M13" s="3"/>
      <c r="N13" s="18"/>
      <c r="O13" s="26"/>
      <c r="P13" s="17"/>
      <c r="Q13" s="17"/>
      <c r="R13" s="17"/>
      <c r="S13" s="17"/>
      <c r="T13" s="17"/>
      <c r="U13" s="27"/>
      <c r="V13" s="17"/>
    </row>
    <row r="14" spans="1:22" ht="15.75" customHeight="1" thickBot="1" x14ac:dyDescent="0.25">
      <c r="A14" s="48" t="s">
        <v>9</v>
      </c>
      <c r="B14" s="49"/>
      <c r="C14" s="23">
        <v>93.32548436116808</v>
      </c>
      <c r="D14" s="24">
        <v>92.739539269370866</v>
      </c>
      <c r="E14" s="24">
        <v>91.500872268214565</v>
      </c>
      <c r="F14" s="24">
        <v>85.143369175627228</v>
      </c>
      <c r="G14" s="24">
        <v>75.147299428772442</v>
      </c>
      <c r="H14" s="24">
        <v>59.129842530356363</v>
      </c>
      <c r="I14" s="25">
        <v>48.364190001643621</v>
      </c>
      <c r="J14" s="17" cm="1">
        <f t="array" ref="J14">-SUMPRODUCT((D1:H1-C1:G1)*(C14:G14+D14:H14)/2)</f>
        <v>78.680994068576155</v>
      </c>
      <c r="K14" s="17" cm="1">
        <f t="array" ref="K14">-SUMPRODUCT((D1:I1-C1:H1)*(C14:H14+D14:I14)/2)</f>
        <v>81.368344881876155</v>
      </c>
      <c r="L14" s="17" t="str">
        <f t="shared" si="0"/>
        <v xml:space="preserve">    93.3254843611681, 92.7395392693709, 91.5008722682146, 85.1433691756272, 75.1472994287724, 59.1298425303564, 48.3641900016436,</v>
      </c>
      <c r="M14" s="48" t="s">
        <v>9</v>
      </c>
      <c r="N14" s="49"/>
      <c r="O14" s="23">
        <v>3.667959563183556</v>
      </c>
      <c r="P14" s="24">
        <v>3.989772059278164</v>
      </c>
      <c r="Q14" s="24">
        <v>4.3227288020875694</v>
      </c>
      <c r="R14" s="24">
        <v>4.691214264977404</v>
      </c>
      <c r="S14" s="24">
        <v>9.351372365820513</v>
      </c>
      <c r="T14" s="24">
        <v>11.12402361905577</v>
      </c>
      <c r="U14" s="25">
        <v>9.7177921031411447</v>
      </c>
      <c r="V14" s="17" t="str">
        <f t="shared" si="1"/>
        <v xml:space="preserve">    3.66795956318356, 3.98977205927816, 4.32272880208757, 4.6912142649774, 9.35137236582051, 11.1240236190558, 9.71779210314114,</v>
      </c>
    </row>
    <row r="15" spans="1:22" ht="15.75" customHeight="1" thickBot="1" x14ac:dyDescent="0.25">
      <c r="A15" s="54" t="s">
        <v>10</v>
      </c>
      <c r="B15" s="52"/>
      <c r="C15" s="23">
        <v>93.029579263949799</v>
      </c>
      <c r="D15" s="24">
        <v>91.699489903315182</v>
      </c>
      <c r="E15" s="24">
        <v>90.230102913231647</v>
      </c>
      <c r="F15" s="24">
        <v>85.684437869993104</v>
      </c>
      <c r="G15" s="24">
        <v>76.604408342632709</v>
      </c>
      <c r="H15" s="24">
        <v>60.525240991127369</v>
      </c>
      <c r="I15" s="25">
        <v>50.546463781405251</v>
      </c>
      <c r="J15" s="17" cm="1">
        <f t="array" ref="J15">-SUMPRODUCT((D1:H1-C1:G1)*(C15:G15+D15:H15)/2)</f>
        <v>78.394711603618248</v>
      </c>
      <c r="K15" s="17" cm="1">
        <f t="array" ref="K15">-SUMPRODUCT((D1:I1-C1:H1)*(C15:H15+D15:I15)/2)</f>
        <v>81.17150422293156</v>
      </c>
      <c r="L15" s="17" t="str">
        <f t="shared" si="0"/>
        <v xml:space="preserve">    93.0295792639498, 91.6994899033152, 90.2301029132316, 85.6844378699931, 76.6044083426327, 60.5252409911274, 50.5464637814053,</v>
      </c>
      <c r="M15" s="48" t="s">
        <v>10</v>
      </c>
      <c r="N15" s="49"/>
      <c r="O15" s="23">
        <v>3.744976414623296</v>
      </c>
      <c r="P15" s="24">
        <v>4.343666270045687</v>
      </c>
      <c r="Q15" s="24">
        <v>4.7437159565801874</v>
      </c>
      <c r="R15" s="24">
        <v>5.5306123777224894</v>
      </c>
      <c r="S15" s="24">
        <v>8.3512102986812558</v>
      </c>
      <c r="T15" s="24">
        <v>10.38527872584435</v>
      </c>
      <c r="U15" s="25">
        <v>9.5213328677383782</v>
      </c>
      <c r="V15" s="17" t="str">
        <f t="shared" si="1"/>
        <v xml:space="preserve">    3.7449764146233, 4.34366627004569, 4.74371595658019, 5.53061237772249, 8.35121029868126, 10.3852787258443, 9.52133286773838,</v>
      </c>
    </row>
    <row r="16" spans="1:22" ht="15.75" customHeight="1" x14ac:dyDescent="0.2">
      <c r="A16" s="3" t="s">
        <v>12</v>
      </c>
      <c r="B16" s="52" t="s">
        <v>11</v>
      </c>
      <c r="C16" s="14">
        <v>92.834854396087621</v>
      </c>
      <c r="D16" s="15">
        <v>91.543779213776347</v>
      </c>
      <c r="E16" s="15">
        <v>90.221590728870211</v>
      </c>
      <c r="F16" s="15">
        <v>81.966357840465747</v>
      </c>
      <c r="G16" s="15">
        <v>70.033858424380838</v>
      </c>
      <c r="H16" s="15">
        <v>59.126745617753343</v>
      </c>
      <c r="I16" s="16">
        <v>50.169361326655093</v>
      </c>
      <c r="J16" s="17" cm="1">
        <f t="array" ref="J16">-SUMPRODUCT((D1:H1-C1:G1)*(C16:G16+D16:H16)/2)</f>
        <v>77.044836316346462</v>
      </c>
      <c r="K16" s="17" cm="1">
        <f t="array" ref="K16">-SUMPRODUCT((D1:I1-C1:H1)*(C16:H16+D16:I16)/2)</f>
        <v>79.777238989956672</v>
      </c>
      <c r="L16" s="17" t="str">
        <f t="shared" si="0"/>
        <v xml:space="preserve">    92.8348543960876, 91.5437792137763, 90.2215907288702, 81.9663578404657, 70.0338584243808, 59.1267456177533, 50.1693613266551,</v>
      </c>
      <c r="M16" s="3" t="s">
        <v>12</v>
      </c>
      <c r="N16" s="52" t="s">
        <v>11</v>
      </c>
      <c r="O16" s="26">
        <v>4.0510436307120292</v>
      </c>
      <c r="P16" s="17">
        <v>3.6908355314818002</v>
      </c>
      <c r="Q16" s="17">
        <v>4.4374013556165783</v>
      </c>
      <c r="R16" s="17">
        <v>6.3902033256123429</v>
      </c>
      <c r="S16" s="17">
        <v>10.7999993987811</v>
      </c>
      <c r="T16" s="17">
        <v>10.29098287336047</v>
      </c>
      <c r="U16" s="27">
        <v>9.4084925093140743</v>
      </c>
      <c r="V16" s="17" t="str">
        <f t="shared" si="1"/>
        <v xml:space="preserve">    4.05104363071203, 3.6908355314818, 4.43740135561658, 6.39020332561234, 10.7999993987811, 10.2909828733605, 9.40849250931407,</v>
      </c>
    </row>
    <row r="17" spans="1:22" ht="15.75" customHeight="1" thickBot="1" x14ac:dyDescent="0.25">
      <c r="A17" s="21" t="s">
        <v>13</v>
      </c>
      <c r="B17" s="53"/>
      <c r="C17" s="28">
        <v>92.961657684466715</v>
      </c>
      <c r="D17" s="29">
        <v>91.581357393518388</v>
      </c>
      <c r="E17" s="29">
        <v>90.473438351542839</v>
      </c>
      <c r="F17" s="29">
        <v>86.603606720934735</v>
      </c>
      <c r="G17" s="29">
        <v>77.903932271617123</v>
      </c>
      <c r="H17" s="29">
        <v>59.567908603592286</v>
      </c>
      <c r="I17" s="30">
        <v>48.445153793141223</v>
      </c>
      <c r="J17" s="17" cm="1">
        <f t="array" ref="J17">-SUMPRODUCT((D1:H1-C1:G1)*(C17:G17+D17:H17)/2)</f>
        <v>78.631399853516598</v>
      </c>
      <c r="K17" s="17" cm="1">
        <f t="array" ref="K17">-SUMPRODUCT((D1:I1-C1:H1)*(C17:H17+D17:I17)/2)</f>
        <v>81.331726413434936</v>
      </c>
      <c r="L17" s="17" t="str">
        <f t="shared" si="0"/>
        <v xml:space="preserve">    92.9616576844667, 91.5813573935184, 90.4734383515428, 86.6036067209347, 77.9039322716171, 59.5679086035923, 48.4451537931412,</v>
      </c>
      <c r="M17" s="21" t="s">
        <v>13</v>
      </c>
      <c r="N17" s="53"/>
      <c r="O17" s="28">
        <v>3.561541743303076</v>
      </c>
      <c r="P17" s="29">
        <v>4.0732299909545224</v>
      </c>
      <c r="Q17" s="29">
        <v>4.7078541322877587</v>
      </c>
      <c r="R17" s="29">
        <v>5.7340237026421512</v>
      </c>
      <c r="S17" s="29">
        <v>7.7315701222211866</v>
      </c>
      <c r="T17" s="29">
        <v>8.7921119837631458</v>
      </c>
      <c r="U17" s="30">
        <v>6.9480359155607783</v>
      </c>
      <c r="V17" s="17" t="str">
        <f t="shared" si="1"/>
        <v xml:space="preserve">    3.56154174330308, 4.07322999095452, 4.70785413228776, 5.73402370264215, 7.73157012222119, 8.79211198376315, 6.94803591556078,</v>
      </c>
    </row>
    <row r="18" spans="1:22" ht="15" thickBo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ht="15.75" thickBot="1" x14ac:dyDescent="0.25">
      <c r="A19" s="4" t="s">
        <v>4</v>
      </c>
      <c r="B19" s="5" t="s">
        <v>1</v>
      </c>
      <c r="C19" s="7">
        <v>1</v>
      </c>
      <c r="D19" s="7">
        <v>0.75</v>
      </c>
      <c r="E19" s="7">
        <v>0.5</v>
      </c>
      <c r="F19" s="7">
        <v>0.3</v>
      </c>
      <c r="G19" s="7">
        <v>0.2</v>
      </c>
      <c r="H19" s="7">
        <v>0.1</v>
      </c>
      <c r="I19" s="5">
        <v>0.05</v>
      </c>
      <c r="J19" s="13"/>
      <c r="K19" s="13"/>
      <c r="L19" s="32"/>
      <c r="M19" s="4" t="s">
        <v>5</v>
      </c>
      <c r="N19" s="5" t="s">
        <v>1</v>
      </c>
      <c r="O19" s="8">
        <v>1</v>
      </c>
      <c r="P19" s="8">
        <v>0.75</v>
      </c>
      <c r="Q19" s="8">
        <v>0.5</v>
      </c>
      <c r="R19" s="8">
        <v>0.3</v>
      </c>
      <c r="S19" s="8">
        <v>0.2</v>
      </c>
      <c r="T19" s="8">
        <v>0.1</v>
      </c>
      <c r="U19" s="9">
        <v>0.05</v>
      </c>
      <c r="V19" s="32"/>
    </row>
    <row r="20" spans="1:22" ht="15.75" thickBot="1" x14ac:dyDescent="0.25">
      <c r="A20" s="50" t="s">
        <v>6</v>
      </c>
      <c r="B20" s="51"/>
      <c r="C20" s="33">
        <v>92.567111769713335</v>
      </c>
      <c r="D20" s="33">
        <v>90.835858608343599</v>
      </c>
      <c r="E20" s="33">
        <v>89.217505339533233</v>
      </c>
      <c r="F20" s="33">
        <v>83.237245964288078</v>
      </c>
      <c r="G20" s="33">
        <v>75.380430844191011</v>
      </c>
      <c r="H20" s="33">
        <v>58.994367187597383</v>
      </c>
      <c r="I20" s="34">
        <v>43.622535641382179</v>
      </c>
      <c r="J20" s="32"/>
      <c r="K20" s="32"/>
      <c r="L20" s="32" t="str">
        <f>"    "&amp;_xlfn.TEXTJOIN(", ",TRUE,C20:I20)&amp;","</f>
        <v xml:space="preserve">    92.5671117697133, 90.8358586083436, 89.2175053395332, 83.2372459642881, 75.380430844191, 58.9943671875974, 43.6225356413822,</v>
      </c>
      <c r="M20" s="50" t="s">
        <v>2</v>
      </c>
      <c r="N20" s="51"/>
      <c r="O20" s="35">
        <v>3.88093621561358</v>
      </c>
      <c r="P20" s="33">
        <v>4.8164746829677396</v>
      </c>
      <c r="Q20" s="33">
        <v>5.2250608386616522</v>
      </c>
      <c r="R20" s="33">
        <v>5.6675721086724113</v>
      </c>
      <c r="S20" s="33">
        <v>8.3263283482936075</v>
      </c>
      <c r="T20" s="33">
        <v>10.49020927094638</v>
      </c>
      <c r="U20" s="34">
        <v>11.060437347759546</v>
      </c>
      <c r="V20" s="32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50" t="s">
        <v>7</v>
      </c>
      <c r="B21" s="51"/>
      <c r="C21" s="33">
        <v>92.866950218042462</v>
      </c>
      <c r="D21" s="33">
        <v>91.242690764745561</v>
      </c>
      <c r="E21" s="33">
        <v>90.137053227698445</v>
      </c>
      <c r="F21" s="33">
        <v>86.080152926613408</v>
      </c>
      <c r="G21" s="33">
        <v>77.410217255196784</v>
      </c>
      <c r="H21" s="33">
        <v>59.676194764980139</v>
      </c>
      <c r="I21" s="34">
        <v>46.395490419404197</v>
      </c>
      <c r="J21" s="32"/>
      <c r="K21" s="32"/>
      <c r="L21" s="32" t="str">
        <f>"    "&amp;_xlfn.TEXTJOIN(", ",TRUE,C21:I21)&amp;","</f>
        <v xml:space="preserve">    92.8669502180425, 91.2426907647456, 90.1370532276984, 86.0801529266134, 77.4102172551968, 59.6761947649801, 46.3954904194042,</v>
      </c>
      <c r="M21" s="50" t="s">
        <v>7</v>
      </c>
      <c r="N21" s="51"/>
      <c r="O21" s="33">
        <v>3.8319643020864191</v>
      </c>
      <c r="P21" s="33">
        <v>4.3603246705255447</v>
      </c>
      <c r="Q21" s="33">
        <v>4.7987735191879262</v>
      </c>
      <c r="R21" s="33">
        <v>5.1262965367330251</v>
      </c>
      <c r="S21" s="33">
        <v>7.087258799823358</v>
      </c>
      <c r="T21" s="33">
        <v>9.7457736576346736</v>
      </c>
      <c r="U21" s="34">
        <v>10.021578856839133</v>
      </c>
      <c r="V21" s="32" t="str">
        <f t="shared" ref="V21:V35" si="2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50" t="s">
        <v>22</v>
      </c>
      <c r="B22" s="51"/>
      <c r="C22" s="58">
        <v>87.268396410214976</v>
      </c>
      <c r="D22" s="59">
        <v>87.256428398686779</v>
      </c>
      <c r="E22" s="59">
        <v>87.822106304170404</v>
      </c>
      <c r="F22" s="59">
        <v>87.68072644235157</v>
      </c>
      <c r="G22" s="59">
        <v>87.144879367185226</v>
      </c>
      <c r="H22" s="59">
        <v>74.976567886515753</v>
      </c>
      <c r="I22" s="60">
        <v>46.41754739488244</v>
      </c>
      <c r="J22" s="32"/>
      <c r="K22" s="32"/>
      <c r="L22" s="32"/>
      <c r="M22" s="50" t="s">
        <v>22</v>
      </c>
      <c r="N22" s="51"/>
      <c r="O22" s="58">
        <v>2.610595868561878</v>
      </c>
      <c r="P22" s="59">
        <v>2.3209805270224559</v>
      </c>
      <c r="Q22" s="59">
        <v>2.4426244152699921</v>
      </c>
      <c r="R22" s="59">
        <v>2.2821255442986761</v>
      </c>
      <c r="S22" s="59">
        <v>2.523131741400912</v>
      </c>
      <c r="T22" s="59">
        <v>3.7626100419371111</v>
      </c>
      <c r="U22" s="60">
        <v>4.1161081119796732</v>
      </c>
      <c r="V22" s="32"/>
    </row>
    <row r="23" spans="1:22" ht="15.75" thickBot="1" x14ac:dyDescent="0.25">
      <c r="A23" s="6"/>
      <c r="B23" s="9"/>
      <c r="C23" s="33"/>
      <c r="D23" s="33"/>
      <c r="E23" s="33"/>
      <c r="F23" s="33"/>
      <c r="G23" s="33"/>
      <c r="H23" s="33"/>
      <c r="I23" s="34"/>
      <c r="J23" s="32"/>
      <c r="K23" s="32"/>
      <c r="L23" s="32"/>
      <c r="M23" s="6"/>
      <c r="N23" s="9"/>
      <c r="O23" s="33"/>
      <c r="P23" s="33"/>
      <c r="Q23" s="33"/>
      <c r="R23" s="33"/>
      <c r="S23" s="33"/>
      <c r="T23" s="33"/>
      <c r="U23" s="34"/>
      <c r="V23" s="32"/>
    </row>
    <row r="24" spans="1:22" ht="15.75" thickBot="1" x14ac:dyDescent="0.25">
      <c r="A24" s="44" t="s">
        <v>15</v>
      </c>
      <c r="B24" s="19" t="s">
        <v>8</v>
      </c>
      <c r="C24" s="71">
        <v>92.090964458137719</v>
      </c>
      <c r="D24" s="72">
        <v>92.225747214704057</v>
      </c>
      <c r="E24" s="72">
        <v>91.521472744923059</v>
      </c>
      <c r="F24" s="72">
        <v>88.941892764565438</v>
      </c>
      <c r="G24" s="72">
        <v>85.653551676417166</v>
      </c>
      <c r="H24" s="72">
        <v>66.671736753273038</v>
      </c>
      <c r="I24" s="73">
        <v>44.733429528928077</v>
      </c>
      <c r="J24" s="32"/>
      <c r="K24" s="32"/>
      <c r="L24" s="32"/>
      <c r="M24" s="44" t="s">
        <v>15</v>
      </c>
      <c r="N24" s="19" t="s">
        <v>8</v>
      </c>
      <c r="O24" s="71">
        <v>3.5177974290914542</v>
      </c>
      <c r="P24" s="72">
        <v>3.557753990474978</v>
      </c>
      <c r="Q24" s="72">
        <v>3.5087128516873198</v>
      </c>
      <c r="R24" s="72">
        <v>3.7107875792300029</v>
      </c>
      <c r="S24" s="72">
        <v>4.3521548645481571</v>
      </c>
      <c r="T24" s="72">
        <v>6.513348733675218</v>
      </c>
      <c r="U24" s="73">
        <v>4.3611469787350492</v>
      </c>
      <c r="V24" s="32"/>
    </row>
    <row r="25" spans="1:22" ht="15.75" thickBot="1" x14ac:dyDescent="0.25">
      <c r="A25" s="44" t="s">
        <v>16</v>
      </c>
      <c r="B25" s="19" t="s">
        <v>8</v>
      </c>
      <c r="C25" s="74">
        <v>92.321805000189684</v>
      </c>
      <c r="D25" s="75">
        <v>92.405853886598521</v>
      </c>
      <c r="E25" s="75">
        <v>91.932080540642673</v>
      </c>
      <c r="F25" s="75">
        <v>90.397149158092859</v>
      </c>
      <c r="G25" s="75">
        <v>88.436623954934859</v>
      </c>
      <c r="H25" s="75">
        <v>70.331082008418889</v>
      </c>
      <c r="I25" s="76">
        <v>47.116317713784881</v>
      </c>
      <c r="J25" s="32"/>
      <c r="K25" s="32"/>
      <c r="L25" s="32"/>
      <c r="M25" s="44" t="s">
        <v>16</v>
      </c>
      <c r="N25" s="19" t="s">
        <v>8</v>
      </c>
      <c r="O25" s="74">
        <v>3.5510083485465649</v>
      </c>
      <c r="P25" s="75">
        <v>3.3628419115073869</v>
      </c>
      <c r="Q25" s="75">
        <v>3.3226416575528588</v>
      </c>
      <c r="R25" s="75">
        <v>3.3695923563205969</v>
      </c>
      <c r="S25" s="75">
        <v>3.7943225683696831</v>
      </c>
      <c r="T25" s="75">
        <v>6.289815767374483</v>
      </c>
      <c r="U25" s="76">
        <v>5.8901337914504346</v>
      </c>
      <c r="V25" s="32"/>
    </row>
    <row r="26" spans="1:22" ht="15.75" thickBot="1" x14ac:dyDescent="0.25">
      <c r="A26" s="44" t="s">
        <v>17</v>
      </c>
      <c r="B26" s="19" t="s">
        <v>8</v>
      </c>
      <c r="C26" s="74">
        <v>92.111918497964766</v>
      </c>
      <c r="D26" s="75">
        <v>92.236437130021557</v>
      </c>
      <c r="E26" s="75">
        <v>91.847628837606763</v>
      </c>
      <c r="F26" s="75">
        <v>91.031961472589515</v>
      </c>
      <c r="G26" s="75">
        <v>87.968996103656281</v>
      </c>
      <c r="H26" s="75">
        <v>70.680435455032196</v>
      </c>
      <c r="I26" s="76">
        <v>51.144510191286152</v>
      </c>
      <c r="J26" s="32"/>
      <c r="K26" s="32"/>
      <c r="L26" s="32"/>
      <c r="M26" s="44" t="s">
        <v>17</v>
      </c>
      <c r="N26" s="19" t="s">
        <v>8</v>
      </c>
      <c r="O26" s="74">
        <v>3.5860589390986259</v>
      </c>
      <c r="P26" s="75">
        <v>3.5458492835339008</v>
      </c>
      <c r="Q26" s="75">
        <v>3.3222516092178069</v>
      </c>
      <c r="R26" s="75">
        <v>3.385168684859547</v>
      </c>
      <c r="S26" s="75">
        <v>3.8142946105661402</v>
      </c>
      <c r="T26" s="75">
        <v>5.9054798361883787</v>
      </c>
      <c r="U26" s="76">
        <v>6.303799515839513</v>
      </c>
      <c r="V26" s="32"/>
    </row>
    <row r="27" spans="1:22" ht="15.75" thickBot="1" x14ac:dyDescent="0.25">
      <c r="A27" s="44" t="s">
        <v>18</v>
      </c>
      <c r="B27" s="19" t="s">
        <v>8</v>
      </c>
      <c r="C27" s="74">
        <v>92.146767242147604</v>
      </c>
      <c r="D27" s="75">
        <v>92.149809705573503</v>
      </c>
      <c r="E27" s="75">
        <v>91.597242766781079</v>
      </c>
      <c r="F27" s="75">
        <v>89.507543063481393</v>
      </c>
      <c r="G27" s="75">
        <v>87.742503472855233</v>
      </c>
      <c r="H27" s="75">
        <v>71.756817773810411</v>
      </c>
      <c r="I27" s="76">
        <v>48.333759286622389</v>
      </c>
      <c r="J27" s="32"/>
      <c r="K27" s="32"/>
      <c r="L27" s="32"/>
      <c r="M27" s="44" t="s">
        <v>18</v>
      </c>
      <c r="N27" s="19" t="s">
        <v>8</v>
      </c>
      <c r="O27" s="74">
        <v>3.487943544153528</v>
      </c>
      <c r="P27" s="75">
        <v>3.2378924883880509</v>
      </c>
      <c r="Q27" s="75">
        <v>3.2709048755265102</v>
      </c>
      <c r="R27" s="75">
        <v>3.3337680696503051</v>
      </c>
      <c r="S27" s="75">
        <v>3.333010462655575</v>
      </c>
      <c r="T27" s="75">
        <v>6.0257417176501527</v>
      </c>
      <c r="U27" s="76">
        <v>6.5887323806405798</v>
      </c>
      <c r="V27" s="32"/>
    </row>
    <row r="28" spans="1:22" ht="15.75" thickBot="1" x14ac:dyDescent="0.25">
      <c r="A28" s="44" t="s">
        <v>19</v>
      </c>
      <c r="B28" s="19" t="s">
        <v>8</v>
      </c>
      <c r="C28" s="74">
        <v>91.811602295841297</v>
      </c>
      <c r="D28" s="75">
        <v>92.01621442820101</v>
      </c>
      <c r="E28" s="75">
        <v>90.69883245549282</v>
      </c>
      <c r="F28" s="75">
        <v>89.252743673102813</v>
      </c>
      <c r="G28" s="75">
        <v>87.431423793999102</v>
      </c>
      <c r="H28" s="75">
        <v>72.004779467340057</v>
      </c>
      <c r="I28" s="76">
        <v>47.839912678907709</v>
      </c>
      <c r="J28" s="32"/>
      <c r="K28" s="32"/>
      <c r="L28" s="32"/>
      <c r="M28" s="44" t="s">
        <v>19</v>
      </c>
      <c r="N28" s="19" t="s">
        <v>8</v>
      </c>
      <c r="O28" s="74">
        <v>3.6783344612816751</v>
      </c>
      <c r="P28" s="75">
        <v>3.4293957351318931</v>
      </c>
      <c r="Q28" s="75">
        <v>3.4195444759494178</v>
      </c>
      <c r="R28" s="75">
        <v>3.4775508965945132</v>
      </c>
      <c r="S28" s="75">
        <v>3.4628256472079331</v>
      </c>
      <c r="T28" s="75">
        <v>5.912103895276493</v>
      </c>
      <c r="U28" s="76">
        <v>8.5887037449430217</v>
      </c>
      <c r="V28" s="32"/>
    </row>
    <row r="29" spans="1:22" ht="15.75" thickBot="1" x14ac:dyDescent="0.25">
      <c r="A29" s="44" t="s">
        <v>20</v>
      </c>
      <c r="B29" s="19" t="s">
        <v>8</v>
      </c>
      <c r="C29" s="74">
        <v>91.587767480942475</v>
      </c>
      <c r="D29" s="75">
        <v>91.806360950894657</v>
      </c>
      <c r="E29" s="75">
        <v>91.548533421376831</v>
      </c>
      <c r="F29" s="75">
        <v>89.702786771775081</v>
      </c>
      <c r="G29" s="75">
        <v>87.166712417651837</v>
      </c>
      <c r="H29" s="75">
        <v>71.078423584513828</v>
      </c>
      <c r="I29" s="76">
        <v>49.250170216962971</v>
      </c>
      <c r="J29" s="32"/>
      <c r="K29" s="32"/>
      <c r="L29" s="32"/>
      <c r="M29" s="44" t="s">
        <v>20</v>
      </c>
      <c r="N29" s="19" t="s">
        <v>8</v>
      </c>
      <c r="O29" s="74">
        <v>3.220290868438294</v>
      </c>
      <c r="P29" s="75">
        <v>3.458689386244469</v>
      </c>
      <c r="Q29" s="75">
        <v>3.1695515174014122</v>
      </c>
      <c r="R29" s="75">
        <v>3.2415730394241709</v>
      </c>
      <c r="S29" s="75">
        <v>2.8468262037042762</v>
      </c>
      <c r="T29" s="75">
        <v>6.3042195015850808</v>
      </c>
      <c r="U29" s="76">
        <v>9.4052839768752889</v>
      </c>
      <c r="V29" s="32"/>
    </row>
    <row r="30" spans="1:22" ht="15.75" thickBot="1" x14ac:dyDescent="0.25">
      <c r="A30" s="45" t="s">
        <v>21</v>
      </c>
      <c r="B30" s="19" t="s">
        <v>8</v>
      </c>
      <c r="C30" s="77">
        <v>91.489397676015386</v>
      </c>
      <c r="D30" s="78">
        <v>90.925555621691373</v>
      </c>
      <c r="E30" s="78">
        <v>91.0324200284917</v>
      </c>
      <c r="F30" s="78">
        <v>89.477206459658461</v>
      </c>
      <c r="G30" s="78">
        <v>87.213659515199012</v>
      </c>
      <c r="H30" s="78">
        <v>72.410303805864615</v>
      </c>
      <c r="I30" s="79">
        <v>49.969972278881762</v>
      </c>
      <c r="J30" s="32"/>
      <c r="K30" s="32"/>
      <c r="L30" s="32"/>
      <c r="M30" s="45" t="s">
        <v>21</v>
      </c>
      <c r="N30" s="19" t="s">
        <v>8</v>
      </c>
      <c r="O30" s="77">
        <v>3.5272680619778858</v>
      </c>
      <c r="P30" s="78">
        <v>3.4680114189700739</v>
      </c>
      <c r="Q30" s="78">
        <v>3.2061449812028462</v>
      </c>
      <c r="R30" s="78">
        <v>3.223463793838472</v>
      </c>
      <c r="S30" s="78">
        <v>2.8435603958502331</v>
      </c>
      <c r="T30" s="78">
        <v>5.971912593477934</v>
      </c>
      <c r="U30" s="79">
        <v>9.9868846185891531</v>
      </c>
      <c r="V30" s="32"/>
    </row>
    <row r="31" spans="1:22" ht="15.75" thickBot="1" x14ac:dyDescent="0.25">
      <c r="A31" s="4"/>
      <c r="B31" s="19"/>
      <c r="C31" s="41"/>
      <c r="D31" s="42"/>
      <c r="E31" s="42"/>
      <c r="F31" s="42"/>
      <c r="G31" s="42"/>
      <c r="H31" s="42"/>
      <c r="I31" s="43"/>
      <c r="J31" s="32"/>
      <c r="K31" s="32"/>
      <c r="L31" s="32"/>
      <c r="M31" s="4"/>
      <c r="N31" s="19"/>
      <c r="O31" s="41"/>
      <c r="P31" s="42"/>
      <c r="Q31" s="42"/>
      <c r="R31" s="42"/>
      <c r="S31" s="42"/>
      <c r="T31" s="42"/>
      <c r="U31" s="43"/>
      <c r="V31" s="32"/>
    </row>
    <row r="32" spans="1:22" ht="14.25" customHeight="1" thickBot="1" x14ac:dyDescent="0.25">
      <c r="A32" s="50" t="s">
        <v>9</v>
      </c>
      <c r="B32" s="51"/>
      <c r="C32" s="41">
        <v>92.868050634154315</v>
      </c>
      <c r="D32" s="42">
        <v>92.288231222045297</v>
      </c>
      <c r="E32" s="42">
        <v>91.054287148035144</v>
      </c>
      <c r="F32" s="42">
        <v>84.437885333085376</v>
      </c>
      <c r="G32" s="42">
        <v>74.253673383599548</v>
      </c>
      <c r="H32" s="42">
        <v>57.552195558991649</v>
      </c>
      <c r="I32" s="43">
        <v>45.560977654736433</v>
      </c>
      <c r="J32" s="32"/>
      <c r="K32" s="32"/>
      <c r="L32" s="32" t="str">
        <f t="shared" ref="L32:L35" si="3">"    "&amp;_xlfn.TEXTJOIN(", ",TRUE,C32:I32)&amp;","</f>
        <v xml:space="preserve">    92.8680506341543, 92.2882312220453, 91.0542871480351, 84.4378853330854, 74.2536733835995, 57.5521955589916, 45.5609776547364,</v>
      </c>
      <c r="M32" s="50" t="s">
        <v>9</v>
      </c>
      <c r="N32" s="51"/>
      <c r="O32" s="41">
        <v>4.0949495507503526</v>
      </c>
      <c r="P32" s="42">
        <v>4.4354851591423481</v>
      </c>
      <c r="Q32" s="42">
        <v>4.6437372111598876</v>
      </c>
      <c r="R32" s="42">
        <v>5.0311660763107948</v>
      </c>
      <c r="S32" s="42">
        <v>9.8512038160577102</v>
      </c>
      <c r="T32" s="42">
        <v>11.57485796488027</v>
      </c>
      <c r="U32" s="43">
        <v>10.571075661324681</v>
      </c>
      <c r="V32" s="32" t="str">
        <f t="shared" si="2"/>
        <v xml:space="preserve">    4.09494955075035, 4.43548515914235, 4.64373721115989, 5.03116607631079, 9.85120381605771, 11.5748579648803, 10.5710756613247,</v>
      </c>
    </row>
    <row r="33" spans="1:22" ht="15.75" thickBot="1" x14ac:dyDescent="0.25">
      <c r="A33" s="50" t="s">
        <v>10</v>
      </c>
      <c r="B33" s="51"/>
      <c r="C33" s="36">
        <v>92.513598322189821</v>
      </c>
      <c r="D33" s="37">
        <v>91.261446870594469</v>
      </c>
      <c r="E33" s="37">
        <v>89.758265941661861</v>
      </c>
      <c r="F33" s="37">
        <v>85.044465656129674</v>
      </c>
      <c r="G33" s="37">
        <v>75.898843968080286</v>
      </c>
      <c r="H33" s="37">
        <v>59.465611837116732</v>
      </c>
      <c r="I33" s="38">
        <v>48.473156490254198</v>
      </c>
      <c r="J33" s="32"/>
      <c r="K33" s="32"/>
      <c r="L33" s="32" t="str">
        <f t="shared" si="3"/>
        <v xml:space="preserve">    92.5135983221898, 91.2614468705945, 89.7582659416619, 85.0444656561297, 75.8988439680803, 59.4656118371167, 48.4731564902542,</v>
      </c>
      <c r="M33" s="50" t="s">
        <v>10</v>
      </c>
      <c r="N33" s="51"/>
      <c r="O33" s="36">
        <v>4.2171731523020446</v>
      </c>
      <c r="P33" s="37">
        <v>4.6702984752282681</v>
      </c>
      <c r="Q33" s="37">
        <v>5.0608860361047316</v>
      </c>
      <c r="R33" s="37">
        <v>5.9068575059271318</v>
      </c>
      <c r="S33" s="37">
        <v>8.5966909141817851</v>
      </c>
      <c r="T33" s="37">
        <v>10.771320326074211</v>
      </c>
      <c r="U33" s="38">
        <v>10.23603152809228</v>
      </c>
      <c r="V33" s="32" t="str">
        <f t="shared" si="2"/>
        <v xml:space="preserve">    4.21717315230204, 4.67029847522827, 5.06088603610473, 5.90685750592713, 8.59669091418179, 10.7713203260742, 10.2360315280923,</v>
      </c>
    </row>
    <row r="34" spans="1:22" ht="14.25" customHeight="1" x14ac:dyDescent="0.2">
      <c r="A34" s="6" t="s">
        <v>12</v>
      </c>
      <c r="B34" s="46" t="s">
        <v>11</v>
      </c>
      <c r="C34" s="39">
        <v>92.384696271051709</v>
      </c>
      <c r="D34" s="32">
        <v>91.064746116237558</v>
      </c>
      <c r="E34" s="32">
        <v>89.706740365863908</v>
      </c>
      <c r="F34" s="32">
        <v>81.266684859944064</v>
      </c>
      <c r="G34" s="32">
        <v>68.711708208784543</v>
      </c>
      <c r="H34" s="32">
        <v>57.290199860401387</v>
      </c>
      <c r="I34" s="40">
        <v>46.739399749312987</v>
      </c>
      <c r="J34" s="32"/>
      <c r="K34" s="32"/>
      <c r="L34" s="32" t="str">
        <f t="shared" si="3"/>
        <v xml:space="preserve">    92.3846962710517, 91.0647461162376, 89.7067403658639, 81.2666848599441, 68.7117082087845, 57.2901998604014, 46.739399749313,</v>
      </c>
      <c r="M34" s="6" t="s">
        <v>12</v>
      </c>
      <c r="N34" s="46" t="s">
        <v>11</v>
      </c>
      <c r="O34" s="39">
        <v>4.4473764157450031</v>
      </c>
      <c r="P34" s="32">
        <v>4.0187101439284323</v>
      </c>
      <c r="Q34" s="32">
        <v>4.7779668014831769</v>
      </c>
      <c r="R34" s="32">
        <v>6.6359863685648257</v>
      </c>
      <c r="S34" s="32">
        <v>11.614665967759111</v>
      </c>
      <c r="T34" s="32">
        <v>10.738358030533391</v>
      </c>
      <c r="U34" s="40">
        <v>10.069205406414641</v>
      </c>
      <c r="V34" s="32" t="str">
        <f t="shared" si="2"/>
        <v xml:space="preserve">    4.447376415745, 4.01871014392843, 4.77796680148318, 6.63598636856483, 11.6146659677591, 10.7383580305334, 10.0692054064146,</v>
      </c>
    </row>
    <row r="35" spans="1:22" ht="15.75" thickBot="1" x14ac:dyDescent="0.25">
      <c r="A35" s="22" t="s">
        <v>13</v>
      </c>
      <c r="B35" s="47"/>
      <c r="C35" s="41">
        <v>92.570176373736686</v>
      </c>
      <c r="D35" s="42">
        <v>91.035116753825534</v>
      </c>
      <c r="E35" s="42">
        <v>89.995984735900805</v>
      </c>
      <c r="F35" s="42">
        <v>86.101239818995751</v>
      </c>
      <c r="G35" s="42">
        <v>77.099560389949318</v>
      </c>
      <c r="H35" s="42">
        <v>57.996429145301242</v>
      </c>
      <c r="I35" s="43">
        <v>44.399943110932981</v>
      </c>
      <c r="J35" s="32"/>
      <c r="K35" s="32"/>
      <c r="L35" s="32" t="str">
        <f t="shared" si="3"/>
        <v xml:space="preserve">    92.5701763737367, 91.0351167538255, 89.9959847359008, 86.1012398189958, 77.0995603899493, 57.9964291453012, 44.399943110933,</v>
      </c>
      <c r="M35" s="22" t="s">
        <v>13</v>
      </c>
      <c r="N35" s="47"/>
      <c r="O35" s="41">
        <v>3.882028195540002</v>
      </c>
      <c r="P35" s="42">
        <v>4.4292663319519576</v>
      </c>
      <c r="Q35" s="42">
        <v>5.1354581403320241</v>
      </c>
      <c r="R35" s="42">
        <v>5.8685355921558013</v>
      </c>
      <c r="S35" s="42">
        <v>8.0663639251543504</v>
      </c>
      <c r="T35" s="42">
        <v>9.5110854192429173</v>
      </c>
      <c r="U35" s="43">
        <v>8.058131505188614</v>
      </c>
      <c r="V35" s="32" t="str">
        <f t="shared" si="2"/>
        <v xml:space="preserve">    3.88202819554, 4.42926633195196, 5.13545814033202, 5.8685355921558, 8.06636392515435, 9.51108541924292, 8.05813150518861,</v>
      </c>
    </row>
    <row r="37" spans="1:22" ht="15" x14ac:dyDescent="0.2"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spans="1:22" ht="15" x14ac:dyDescent="0.2"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 spans="1:22" ht="15" x14ac:dyDescent="0.2"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 spans="1:22" ht="15" x14ac:dyDescent="0.2">
      <c r="L40" s="61"/>
      <c r="M40" s="61"/>
      <c r="N40" s="61"/>
      <c r="O40" s="61"/>
      <c r="P40" s="61"/>
      <c r="Q40" s="61"/>
      <c r="R40" s="61"/>
      <c r="S40" s="61"/>
      <c r="T40" s="61"/>
      <c r="U40" s="61"/>
    </row>
    <row r="41" spans="1:22" ht="15" x14ac:dyDescent="0.2"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 spans="1:22" ht="15" x14ac:dyDescent="0.2"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 spans="1:22" ht="15" x14ac:dyDescent="0.2"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2" ht="15" x14ac:dyDescent="0.2">
      <c r="M44" s="61"/>
      <c r="N44" s="61"/>
      <c r="O44" s="61"/>
      <c r="P44" s="61"/>
      <c r="Q44" s="61"/>
      <c r="R44" s="61"/>
      <c r="S44" s="61"/>
      <c r="T44" s="61"/>
      <c r="U44" s="61"/>
    </row>
    <row r="45" spans="1:22" ht="15" x14ac:dyDescent="0.2">
      <c r="E45" s="61"/>
      <c r="J45" s="61"/>
      <c r="M45" s="61"/>
      <c r="N45" s="61"/>
      <c r="O45" s="61"/>
      <c r="P45" s="61"/>
      <c r="Q45" s="61"/>
      <c r="R45" s="61"/>
      <c r="S45" s="61"/>
      <c r="T45" s="61"/>
      <c r="U45" s="61"/>
    </row>
    <row r="46" spans="1:22" ht="15" x14ac:dyDescent="0.2">
      <c r="M46" s="61"/>
      <c r="N46" s="61"/>
      <c r="O46" s="61"/>
      <c r="P46" s="61"/>
      <c r="Q46" s="61"/>
      <c r="R46" s="61"/>
      <c r="S46" s="61"/>
      <c r="T46" s="61"/>
      <c r="U46" s="61"/>
    </row>
  </sheetData>
  <mergeCells count="24">
    <mergeCell ref="A2:B2"/>
    <mergeCell ref="M2:N2"/>
    <mergeCell ref="A20:B20"/>
    <mergeCell ref="M20:N20"/>
    <mergeCell ref="B16:B17"/>
    <mergeCell ref="N16:N17"/>
    <mergeCell ref="A3:B3"/>
    <mergeCell ref="M3:N3"/>
    <mergeCell ref="A14:B14"/>
    <mergeCell ref="A15:B15"/>
    <mergeCell ref="A4:B4"/>
    <mergeCell ref="M4:N4"/>
    <mergeCell ref="B34:B35"/>
    <mergeCell ref="N34:N35"/>
    <mergeCell ref="M14:N14"/>
    <mergeCell ref="M15:N15"/>
    <mergeCell ref="A32:B32"/>
    <mergeCell ref="A33:B33"/>
    <mergeCell ref="M32:N32"/>
    <mergeCell ref="M33:N33"/>
    <mergeCell ref="A21:B21"/>
    <mergeCell ref="M21:N21"/>
    <mergeCell ref="A22:B22"/>
    <mergeCell ref="M22:N22"/>
  </mergeCells>
  <phoneticPr fontId="1" type="noConversion"/>
  <conditionalFormatting sqref="C13:I17 C2:I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7 C2:I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5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K17 C2:K5 J6:K12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31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31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31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7 C2:I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17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fullldata_20260317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2026-04-04T07:30:02Z</dcterms:modified>
</cp:coreProperties>
</file>